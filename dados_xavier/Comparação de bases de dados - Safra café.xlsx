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errado" sheetId="1" state="visible" r:id="rId3"/>
    <sheet name="Matas" sheetId="2" state="visible" r:id="rId4"/>
    <sheet name="Su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<sst xmlns="http://schemas.openxmlformats.org/spreadsheetml/2006/main" count="24" uniqueCount="10">
  <si>
    <t xml:space="preserve">Safra 2022 – Cerrado</t>
  </si>
  <si>
    <t xml:space="preserve">Fonte</t>
  </si>
  <si>
    <t xml:space="preserve">Área em produção (ha)</t>
  </si>
  <si>
    <t xml:space="preserve">Produtividade (sc/ha)</t>
  </si>
  <si>
    <t xml:space="preserve">Produção (sacas)</t>
  </si>
  <si>
    <t xml:space="preserve">IBGE</t>
  </si>
  <si>
    <t xml:space="preserve">Conab</t>
  </si>
  <si>
    <t xml:space="preserve">Educampo</t>
  </si>
  <si>
    <t xml:space="preserve">Safra 2022 – Matas</t>
  </si>
  <si>
    <t xml:space="preserve">Safra 2022 – Sul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</si>
</sst>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Cerrado!$B$2</c:f>
              <c:strCache>
                <c:ptCount val="1"/>
                <c:pt idx="0">
                  <c:v>Área em produção (ha)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Cerrado!$A$3:$A$5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Cerrado!$B$3:$B$5</c:f>
              <c:numCache>
                <c:formatCode>#,##0.0</c:formatCode>
                <c:ptCount val="3"/>
                <c:pt idx="0">
                  <c:v>204298</c:v>
                </c:pt>
                <c:pt idx="1">
                  <c:v>181703</c:v>
                </c:pt>
                <c:pt idx="2">
                  <c:v>36323.81</c:v>
                </c:pt>
              </c:numCache>
            </c:numRef>
          </c:val>
        </c:ser>
        <c:gapWidth val="100"/>
        <c:overlap val="0"/>
        <c:axId val="17061746"/>
        <c:axId val="39256916"/>
      </c:barChart>
      <c:catAx>
        <c:axId val="170617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9256916"/>
        <c:crosses val="autoZero"/>
        <c:auto val="1"/>
        <c:lblAlgn val="ctr"/>
        <c:lblOffset val="100"/>
        <c:noMultiLvlLbl val="0"/>
      </c:catAx>
      <c:valAx>
        <c:axId val="392569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70617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Cerrado!$C$2</c:f>
              <c:strCache>
                <c:ptCount val="1"/>
                <c:pt idx="0">
                  <c:v>Produtividade (sc/ha)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Cerrado!$A$3:$A$5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Cerrado!$C$3:$C$5</c:f>
              <c:numCache>
                <c:formatCode>#,##0.0</c:formatCode>
                <c:ptCount val="3"/>
                <c:pt idx="0">
                  <c:v>25.8897133925281</c:v>
                </c:pt>
                <c:pt idx="1">
                  <c:v>23.1063878967326</c:v>
                </c:pt>
                <c:pt idx="2">
                  <c:v>29.9605495679005</c:v>
                </c:pt>
              </c:numCache>
            </c:numRef>
          </c:val>
        </c:ser>
        <c:gapWidth val="100"/>
        <c:overlap val="0"/>
        <c:axId val="91056385"/>
        <c:axId val="76527234"/>
      </c:barChart>
      <c:catAx>
        <c:axId val="910563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6527234"/>
        <c:crosses val="autoZero"/>
        <c:auto val="1"/>
        <c:lblAlgn val="ctr"/>
        <c:lblOffset val="100"/>
        <c:noMultiLvlLbl val="0"/>
      </c:catAx>
      <c:valAx>
        <c:axId val="765272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105638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Cerrado!$D$2</c:f>
              <c:strCache>
                <c:ptCount val="1"/>
                <c:pt idx="0">
                  <c:v>Produção (sacas)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Cerrado!$A$3:$A$5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Cerrado!$D$3:$D$5</c:f>
              <c:numCache>
                <c:formatCode>#,##0.0</c:formatCode>
                <c:ptCount val="3"/>
                <c:pt idx="0">
                  <c:v>5289216.6666667</c:v>
                </c:pt>
                <c:pt idx="1">
                  <c:v>4198500</c:v>
                </c:pt>
                <c:pt idx="2">
                  <c:v>1088281.31</c:v>
                </c:pt>
              </c:numCache>
            </c:numRef>
          </c:val>
        </c:ser>
        <c:gapWidth val="100"/>
        <c:overlap val="0"/>
        <c:axId val="49370737"/>
        <c:axId val="29003902"/>
      </c:barChart>
      <c:catAx>
        <c:axId val="493707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9003902"/>
        <c:crosses val="autoZero"/>
        <c:auto val="1"/>
        <c:lblAlgn val="ctr"/>
        <c:lblOffset val="100"/>
        <c:noMultiLvlLbl val="0"/>
      </c:catAx>
      <c:valAx>
        <c:axId val="29003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93707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Matas!$B$2:$B$2</c:f>
              <c:strCache>
                <c:ptCount val="1"/>
                <c:pt idx="0">
                  <c:v>Área em produção (ha)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Matas!$A$3:$A$5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Matas!$B$3:$B$5</c:f>
              <c:numCache>
                <c:formatCode>#,##0.0</c:formatCode>
                <c:ptCount val="3"/>
                <c:pt idx="0">
                  <c:v>270895</c:v>
                </c:pt>
                <c:pt idx="1">
                  <c:v>312809</c:v>
                </c:pt>
                <c:pt idx="2">
                  <c:v>4228.23</c:v>
                </c:pt>
              </c:numCache>
            </c:numRef>
          </c:val>
        </c:ser>
        <c:gapWidth val="100"/>
        <c:overlap val="0"/>
        <c:axId val="79145716"/>
        <c:axId val="21904447"/>
      </c:barChart>
      <c:catAx>
        <c:axId val="791457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1904447"/>
        <c:crosses val="autoZero"/>
        <c:auto val="1"/>
        <c:lblAlgn val="ctr"/>
        <c:lblOffset val="100"/>
        <c:noMultiLvlLbl val="0"/>
      </c:catAx>
      <c:valAx>
        <c:axId val="219044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91457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Matas!$C$2:$C$2</c:f>
              <c:strCache>
                <c:ptCount val="1"/>
                <c:pt idx="0">
                  <c:v>Produtividade (sc/ha)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Matas!$A$3:$A$5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Matas!$C$3:$C$5</c:f>
              <c:numCache>
                <c:formatCode>#,##0.0</c:formatCode>
                <c:ptCount val="3"/>
                <c:pt idx="0">
                  <c:v>23.0895119265151</c:v>
                </c:pt>
                <c:pt idx="1">
                  <c:v>23.5226607930079</c:v>
                </c:pt>
                <c:pt idx="2">
                  <c:v>26.4114534923597</c:v>
                </c:pt>
              </c:numCache>
            </c:numRef>
          </c:val>
        </c:ser>
        <c:gapWidth val="100"/>
        <c:overlap val="0"/>
        <c:axId val="34972541"/>
        <c:axId val="98713781"/>
      </c:barChart>
      <c:catAx>
        <c:axId val="349725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8713781"/>
        <c:crosses val="autoZero"/>
        <c:auto val="1"/>
        <c:lblAlgn val="ctr"/>
        <c:lblOffset val="100"/>
        <c:noMultiLvlLbl val="0"/>
      </c:catAx>
      <c:valAx>
        <c:axId val="987137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49725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Matas!$D$2:$D$2</c:f>
              <c:strCache>
                <c:ptCount val="1"/>
                <c:pt idx="0">
                  <c:v>Produção (sacas)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Matas!$A$3:$A$5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Matas!$D$3:$D$5</c:f>
              <c:numCache>
                <c:formatCode>#,##0.0</c:formatCode>
                <c:ptCount val="3"/>
                <c:pt idx="0">
                  <c:v>6254833.3333333</c:v>
                </c:pt>
                <c:pt idx="1">
                  <c:v>7358100</c:v>
                </c:pt>
                <c:pt idx="2">
                  <c:v>111673.7</c:v>
                </c:pt>
              </c:numCache>
            </c:numRef>
          </c:val>
        </c:ser>
        <c:gapWidth val="100"/>
        <c:overlap val="0"/>
        <c:axId val="83701434"/>
        <c:axId val="53711238"/>
      </c:barChart>
      <c:catAx>
        <c:axId val="837014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3711238"/>
        <c:crosses val="autoZero"/>
        <c:auto val="1"/>
        <c:lblAlgn val="ctr"/>
        <c:lblOffset val="100"/>
        <c:noMultiLvlLbl val="0"/>
      </c:catAx>
      <c:valAx>
        <c:axId val="537112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37014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Sul!$B$2</c:f>
              <c:strCache>
                <c:ptCount val="1"/>
                <c:pt idx="0">
                  <c:v>Área em produção (ha)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Sul!$A$3:$A$5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Sul!$B$3:$B$5</c:f>
              <c:numCache>
                <c:formatCode>#,##0.0</c:formatCode>
                <c:ptCount val="3"/>
                <c:pt idx="0">
                  <c:v>420822</c:v>
                </c:pt>
                <c:pt idx="1">
                  <c:v>496684</c:v>
                </c:pt>
                <c:pt idx="2">
                  <c:v>13661.12</c:v>
                </c:pt>
              </c:numCache>
            </c:numRef>
          </c:val>
        </c:ser>
        <c:gapWidth val="100"/>
        <c:overlap val="0"/>
        <c:axId val="29492081"/>
        <c:axId val="12784490"/>
      </c:barChart>
      <c:catAx>
        <c:axId val="294920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2784490"/>
        <c:crosses val="autoZero"/>
        <c:auto val="1"/>
        <c:lblAlgn val="ctr"/>
        <c:lblOffset val="100"/>
        <c:noMultiLvlLbl val="0"/>
      </c:catAx>
      <c:valAx>
        <c:axId val="127844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94920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Sul!$C$2</c:f>
              <c:strCache>
                <c:ptCount val="1"/>
                <c:pt idx="0">
                  <c:v>Produtividade (sc/ha)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Sul!$A$3:$A$5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Sul!$C$3:$C$5</c:f>
              <c:numCache>
                <c:formatCode>#,##0.0</c:formatCode>
                <c:ptCount val="3"/>
                <c:pt idx="0">
                  <c:v>20.6640416454779</c:v>
                </c:pt>
                <c:pt idx="1">
                  <c:v>19.3273791787132</c:v>
                </c:pt>
                <c:pt idx="2">
                  <c:v>21.8742313953761</c:v>
                </c:pt>
              </c:numCache>
            </c:numRef>
          </c:val>
        </c:ser>
        <c:gapWidth val="100"/>
        <c:overlap val="0"/>
        <c:axId val="57187195"/>
        <c:axId val="990008"/>
      </c:barChart>
      <c:catAx>
        <c:axId val="571871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90008"/>
        <c:crosses val="autoZero"/>
        <c:auto val="1"/>
        <c:lblAlgn val="ctr"/>
        <c:lblOffset val="100"/>
        <c:noMultiLvlLbl val="0"/>
      </c:catAx>
      <c:valAx>
        <c:axId val="9900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71871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Sul!$D$2</c:f>
              <c:strCache>
                <c:ptCount val="1"/>
                <c:pt idx="0">
                  <c:v>Produção (sacas)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Sul!$A$3:$A$5</c:f>
              <c:strCache>
                <c:ptCount val="3"/>
                <c:pt idx="0">
                  <c:v>IBGE</c:v>
                </c:pt>
                <c:pt idx="1">
                  <c:v>Conab</c:v>
                </c:pt>
                <c:pt idx="2">
                  <c:v>Educampo</c:v>
                </c:pt>
              </c:strCache>
            </c:strRef>
          </c:cat>
          <c:val>
            <c:numRef>
              <c:f>Sul!$D$3:$D$5</c:f>
              <c:numCache>
                <c:formatCode>#,##0.0</c:formatCode>
                <c:ptCount val="3"/>
                <c:pt idx="0">
                  <c:v>8695883.3333333</c:v>
                </c:pt>
                <c:pt idx="1">
                  <c:v>9599600</c:v>
                </c:pt>
                <c:pt idx="2">
                  <c:v>298826.5</c:v>
                </c:pt>
              </c:numCache>
            </c:numRef>
          </c:val>
        </c:ser>
        <c:gapWidth val="100"/>
        <c:overlap val="0"/>
        <c:axId val="720481"/>
        <c:axId val="52002786"/>
      </c:barChart>
      <c:catAx>
        <c:axId val="7204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2002786"/>
        <c:crosses val="autoZero"/>
        <c:auto val="1"/>
        <c:lblAlgn val="ctr"/>
        <c:lblOffset val="100"/>
        <c:noMultiLvlLbl val="0"/>
      </c:catAx>
      <c:valAx>
        <c:axId val="520027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04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74160</xdr:rowOff>
    </xdr:from>
    <xdr:to>
      <xdr:col>5</xdr:col>
      <xdr:colOff>169200</xdr:colOff>
      <xdr:row>25</xdr:row>
      <xdr:rowOff>62640</xdr:rowOff>
    </xdr:to>
    <xdr:graphicFrame>
      <xdr:nvGraphicFramePr>
        <xdr:cNvPr id="0" name=""/>
        <xdr:cNvGraphicFramePr/>
      </xdr:nvGraphicFramePr>
      <xdr:xfrm>
        <a:off x="0" y="887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46800</xdr:colOff>
      <xdr:row>5</xdr:row>
      <xdr:rowOff>55080</xdr:rowOff>
    </xdr:from>
    <xdr:to>
      <xdr:col>12</xdr:col>
      <xdr:colOff>116640</xdr:colOff>
      <xdr:row>25</xdr:row>
      <xdr:rowOff>43560</xdr:rowOff>
    </xdr:to>
    <xdr:graphicFrame>
      <xdr:nvGraphicFramePr>
        <xdr:cNvPr id="1" name=""/>
        <xdr:cNvGraphicFramePr/>
      </xdr:nvGraphicFramePr>
      <xdr:xfrm>
        <a:off x="5637240" y="867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103680</xdr:colOff>
      <xdr:row>5</xdr:row>
      <xdr:rowOff>45720</xdr:rowOff>
    </xdr:from>
    <xdr:to>
      <xdr:col>19</xdr:col>
      <xdr:colOff>173880</xdr:colOff>
      <xdr:row>25</xdr:row>
      <xdr:rowOff>34200</xdr:rowOff>
    </xdr:to>
    <xdr:graphicFrame>
      <xdr:nvGraphicFramePr>
        <xdr:cNvPr id="2" name=""/>
        <xdr:cNvGraphicFramePr/>
      </xdr:nvGraphicFramePr>
      <xdr:xfrm>
        <a:off x="11383920" y="858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84240</xdr:rowOff>
    </xdr:from>
    <xdr:to>
      <xdr:col>4</xdr:col>
      <xdr:colOff>747000</xdr:colOff>
      <xdr:row>25</xdr:row>
      <xdr:rowOff>72720</xdr:rowOff>
    </xdr:to>
    <xdr:graphicFrame>
      <xdr:nvGraphicFramePr>
        <xdr:cNvPr id="3" name=""/>
        <xdr:cNvGraphicFramePr/>
      </xdr:nvGraphicFramePr>
      <xdr:xfrm>
        <a:off x="0" y="897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675360</xdr:colOff>
      <xdr:row>5</xdr:row>
      <xdr:rowOff>55440</xdr:rowOff>
    </xdr:from>
    <xdr:to>
      <xdr:col>11</xdr:col>
      <xdr:colOff>745200</xdr:colOff>
      <xdr:row>25</xdr:row>
      <xdr:rowOff>43920</xdr:rowOff>
    </xdr:to>
    <xdr:graphicFrame>
      <xdr:nvGraphicFramePr>
        <xdr:cNvPr id="4" name=""/>
        <xdr:cNvGraphicFramePr/>
      </xdr:nvGraphicFramePr>
      <xdr:xfrm>
        <a:off x="5688000" y="868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746280</xdr:colOff>
      <xdr:row>5</xdr:row>
      <xdr:rowOff>36000</xdr:rowOff>
    </xdr:from>
    <xdr:to>
      <xdr:col>19</xdr:col>
      <xdr:colOff>3600</xdr:colOff>
      <xdr:row>25</xdr:row>
      <xdr:rowOff>24480</xdr:rowOff>
    </xdr:to>
    <xdr:graphicFrame>
      <xdr:nvGraphicFramePr>
        <xdr:cNvPr id="5" name=""/>
        <xdr:cNvGraphicFramePr/>
      </xdr:nvGraphicFramePr>
      <xdr:xfrm>
        <a:off x="11448720" y="848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55440</xdr:rowOff>
    </xdr:from>
    <xdr:to>
      <xdr:col>5</xdr:col>
      <xdr:colOff>169200</xdr:colOff>
      <xdr:row>25</xdr:row>
      <xdr:rowOff>43920</xdr:rowOff>
    </xdr:to>
    <xdr:graphicFrame>
      <xdr:nvGraphicFramePr>
        <xdr:cNvPr id="6" name=""/>
        <xdr:cNvGraphicFramePr/>
      </xdr:nvGraphicFramePr>
      <xdr:xfrm>
        <a:off x="0" y="868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126000</xdr:colOff>
      <xdr:row>5</xdr:row>
      <xdr:rowOff>84240</xdr:rowOff>
    </xdr:from>
    <xdr:to>
      <xdr:col>12</xdr:col>
      <xdr:colOff>195840</xdr:colOff>
      <xdr:row>25</xdr:row>
      <xdr:rowOff>72720</xdr:rowOff>
    </xdr:to>
    <xdr:graphicFrame>
      <xdr:nvGraphicFramePr>
        <xdr:cNvPr id="7" name=""/>
        <xdr:cNvGraphicFramePr/>
      </xdr:nvGraphicFramePr>
      <xdr:xfrm>
        <a:off x="5716440" y="897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156240</xdr:colOff>
      <xdr:row>5</xdr:row>
      <xdr:rowOff>83880</xdr:rowOff>
    </xdr:from>
    <xdr:to>
      <xdr:col>19</xdr:col>
      <xdr:colOff>226440</xdr:colOff>
      <xdr:row>25</xdr:row>
      <xdr:rowOff>72360</xdr:rowOff>
    </xdr:to>
    <xdr:graphicFrame>
      <xdr:nvGraphicFramePr>
        <xdr:cNvPr id="8" name=""/>
        <xdr:cNvGraphicFramePr/>
      </xdr:nvGraphicFramePr>
      <xdr:xfrm>
        <a:off x="11436480" y="89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21.19"/>
    <col collapsed="false" customWidth="true" hidden="false" outlineLevel="0" max="3" min="3" style="0" width="19.93"/>
    <col collapsed="false" customWidth="true" hidden="false" outlineLevel="0" max="4" min="4" style="0" width="16.46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2" t="n">
        <f aca="false">185247+19051</f>
        <v>204298</v>
      </c>
      <c r="C3" s="2" t="n">
        <f aca="false">D3/B3</f>
        <v>25.8897133925281</v>
      </c>
      <c r="D3" s="2" t="n">
        <v>5289216.6666667</v>
      </c>
    </row>
    <row r="4" customFormat="false" ht="12.8" hidden="false" customHeight="false" outlineLevel="0" collapsed="false">
      <c r="A4" s="0" t="s">
        <v>6</v>
      </c>
      <c r="B4" s="2" t="n">
        <v>181703</v>
      </c>
      <c r="C4" s="2" t="n">
        <f aca="false">D4/B4</f>
        <v>23.1063878967326</v>
      </c>
      <c r="D4" s="2" t="n">
        <f aca="false">4198.5 * 1000</f>
        <v>4198500</v>
      </c>
    </row>
    <row r="5" customFormat="false" ht="12.8" hidden="false" customHeight="false" outlineLevel="0" collapsed="false">
      <c r="A5" s="0" t="s">
        <v>7</v>
      </c>
      <c r="B5" s="2" t="n">
        <v>36323.81</v>
      </c>
      <c r="C5" s="2" t="n">
        <f aca="false">D5/B5</f>
        <v>29.9605495679005</v>
      </c>
      <c r="D5" s="2" t="n">
        <v>1088281.31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21.19"/>
    <col collapsed="false" customWidth="true" hidden="false" outlineLevel="0" max="3" min="3" style="0" width="19.93"/>
    <col collapsed="false" customWidth="true" hidden="false" outlineLevel="0" max="4" min="4" style="0" width="19.79"/>
  </cols>
  <sheetData>
    <row r="1" customFormat="false" ht="12.8" hidden="false" customHeight="false" outlineLevel="0" collapsed="false">
      <c r="A1" s="1" t="s">
        <v>8</v>
      </c>
      <c r="B1" s="1"/>
      <c r="C1" s="1"/>
      <c r="D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2" t="n">
        <v>270895</v>
      </c>
      <c r="C3" s="2" t="n">
        <f aca="false">D3/B3</f>
        <v>23.0895119265151</v>
      </c>
      <c r="D3" s="2" t="n">
        <f aca="false">6254833.3333333</f>
        <v>6254833.3333333</v>
      </c>
    </row>
    <row r="4" customFormat="false" ht="12.8" hidden="false" customHeight="false" outlineLevel="0" collapsed="false">
      <c r="A4" s="0" t="s">
        <v>6</v>
      </c>
      <c r="B4" s="2" t="n">
        <v>312809</v>
      </c>
      <c r="C4" s="2" t="n">
        <f aca="false">D4/B4</f>
        <v>23.5226607930079</v>
      </c>
      <c r="D4" s="2" t="n">
        <f aca="false">7358.1 * 1000</f>
        <v>7358100</v>
      </c>
    </row>
    <row r="5" customFormat="false" ht="12.8" hidden="false" customHeight="false" outlineLevel="0" collapsed="false">
      <c r="A5" s="0" t="s">
        <v>7</v>
      </c>
      <c r="B5" s="2" t="n">
        <v>4228.23</v>
      </c>
      <c r="C5" s="2" t="n">
        <f aca="false">D5/B5</f>
        <v>26.4114534923597</v>
      </c>
      <c r="D5" s="2" t="n">
        <v>111673.7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21.19"/>
    <col collapsed="false" customWidth="true" hidden="false" outlineLevel="0" max="3" min="3" style="0" width="19.93"/>
    <col collapsed="false" customWidth="true" hidden="false" outlineLevel="0" max="4" min="4" style="0" width="16.46"/>
  </cols>
  <sheetData>
    <row r="1" customFormat="false" ht="12.8" hidden="false" customHeight="false" outlineLevel="0" collapsed="false">
      <c r="A1" s="1" t="s">
        <v>9</v>
      </c>
      <c r="B1" s="1"/>
      <c r="C1" s="1"/>
      <c r="D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2" t="n">
        <v>420822</v>
      </c>
      <c r="C3" s="2" t="n">
        <f aca="false">D3/B3</f>
        <v>20.6640416454779</v>
      </c>
      <c r="D3" s="2" t="n">
        <v>8695883.3333333</v>
      </c>
    </row>
    <row r="4" customFormat="false" ht="12.8" hidden="false" customHeight="false" outlineLevel="0" collapsed="false">
      <c r="A4" s="0" t="s">
        <v>6</v>
      </c>
      <c r="B4" s="2" t="n">
        <v>496684</v>
      </c>
      <c r="C4" s="2" t="n">
        <f aca="false">D4/B4</f>
        <v>19.3273791787132</v>
      </c>
      <c r="D4" s="2" t="n">
        <f aca="false">9599.6 * 1000</f>
        <v>9599600</v>
      </c>
    </row>
    <row r="5" customFormat="false" ht="12.8" hidden="false" customHeight="false" outlineLevel="0" collapsed="false">
      <c r="A5" s="0" t="s">
        <v>7</v>
      </c>
      <c r="B5" s="2" t="n">
        <v>13661.12</v>
      </c>
      <c r="C5" s="2" t="n">
        <f aca="false">D5/B5</f>
        <v>21.8742313953761</v>
      </c>
      <c r="D5" s="2" t="n">
        <v>298826.5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2025-05-07T11:27:38Z</dcterms:created>
  <dc:creator/>
  <dc:description/>
  <dc:language>pt-BR</dc:language>
  <cp:lastModifiedBy/>
  <dcterms:modified xsi:type="dcterms:W3CDTF">2025-05-07T12:55:36Z</dcterms:modified>
  <cp:revision>1</cp:revision>
  <dc:subject/>
  <dc:title/>
</cp:coreProperties>
</file>